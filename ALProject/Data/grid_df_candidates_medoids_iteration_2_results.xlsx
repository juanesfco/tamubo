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mancias\Documents\GitHub\QuantitativePFM_FeCr\"/>
    </mc:Choice>
  </mc:AlternateContent>
  <xr:revisionPtr revIDLastSave="0" documentId="13_ncr:1_{90FAEB0B-888F-4306-BC4C-427408A55FD0}" xr6:coauthVersionLast="47" xr6:coauthVersionMax="47" xr10:uidLastSave="{00000000-0000-0000-0000-000000000000}"/>
  <bookViews>
    <workbookView xWindow="2906" yWindow="3994" windowWidth="29245" windowHeight="7800" activeTab="1" xr2:uid="{66476FE8-0BE2-4298-A393-508FFBEB29D4}"/>
  </bookViews>
  <sheets>
    <sheet name="batch1" sheetId="1" r:id="rId1"/>
    <sheet name="batch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2" i="2"/>
  <c r="S3" i="2"/>
  <c r="S4" i="2"/>
  <c r="S5" i="2"/>
  <c r="S6" i="2"/>
  <c r="S7" i="2"/>
  <c r="S8" i="2"/>
  <c r="S9" i="2"/>
  <c r="S10" i="2"/>
  <c r="S11" i="2"/>
  <c r="S2" i="2"/>
  <c r="D3" i="2"/>
  <c r="D4" i="2"/>
  <c r="D5" i="2"/>
  <c r="D6" i="2"/>
  <c r="D7" i="2"/>
  <c r="D8" i="2"/>
  <c r="D9" i="2"/>
  <c r="D10" i="2"/>
  <c r="D11" i="2"/>
  <c r="D2" i="2"/>
  <c r="D2" i="1"/>
  <c r="T2" i="1"/>
  <c r="D3" i="1"/>
  <c r="D4" i="1"/>
  <c r="D5" i="1"/>
  <c r="D6" i="1"/>
  <c r="D7" i="1"/>
  <c r="D8" i="1"/>
  <c r="D9" i="1"/>
  <c r="D10" i="1"/>
  <c r="D11" i="1"/>
  <c r="T3" i="1"/>
  <c r="T4" i="1"/>
  <c r="T5" i="1"/>
  <c r="T6" i="1"/>
  <c r="T7" i="1"/>
  <c r="T8" i="1"/>
  <c r="T9" i="1"/>
  <c r="T10" i="1"/>
  <c r="T11" i="1"/>
  <c r="S3" i="1"/>
  <c r="S4" i="1"/>
  <c r="S5" i="1"/>
  <c r="S6" i="1"/>
  <c r="S7" i="1"/>
  <c r="S8" i="1"/>
  <c r="S9" i="1"/>
  <c r="S10" i="1"/>
  <c r="S11" i="1"/>
  <c r="S2" i="1"/>
</calcChain>
</file>

<file path=xl/sharedStrings.xml><?xml version="1.0" encoding="utf-8"?>
<sst xmlns="http://schemas.openxmlformats.org/spreadsheetml/2006/main" count="106" uniqueCount="39">
  <si>
    <t>Source</t>
  </si>
  <si>
    <t>G</t>
  </si>
  <si>
    <t>C</t>
  </si>
  <si>
    <t>R</t>
  </si>
  <si>
    <t>Vab</t>
  </si>
  <si>
    <t>Prior</t>
  </si>
  <si>
    <t>Truth</t>
  </si>
  <si>
    <t>Explanation</t>
  </si>
  <si>
    <t>log10(G)</t>
  </si>
  <si>
    <t>Prior_Scaled</t>
  </si>
  <si>
    <t>Truth_Scaled</t>
  </si>
  <si>
    <t>Predicted_Probability</t>
  </si>
  <si>
    <t>Std_Dev</t>
  </si>
  <si>
    <t>H</t>
  </si>
  <si>
    <t>cluster_color</t>
  </si>
  <si>
    <t>Time</t>
  </si>
  <si>
    <t>Grid</t>
  </si>
  <si>
    <t>(0.5529411764705883, 0.8274509803921568, 0.7803921568627451, 1.0)</t>
  </si>
  <si>
    <t>(1.0, 1.0, 0.7019607843137254, 1.0)</t>
  </si>
  <si>
    <t>(0.7450980392156863, 0.7294117647058823, 0.8549019607843137, 1.0)</t>
  </si>
  <si>
    <t>(0.984313725490196, 0.5019607843137255, 0.4470588235294118, 1.0)</t>
  </si>
  <si>
    <t>(0.5019607843137255, 0.6941176470588235, 0.8274509803921568, 1.0)</t>
  </si>
  <si>
    <t>(0.9921568627450981, 0.7058823529411765, 0.3843137254901961, 1.0)</t>
  </si>
  <si>
    <t>(0.7019607843137254, 0.8705882352941177, 0.4117647058823529, 1.0)</t>
  </si>
  <si>
    <t>(0.9882352941176471, 0.803921568627451, 0.8980392156862745, 1.0)</t>
  </si>
  <si>
    <t>(0.8509803921568627, 0.8509803921568627, 0.8509803921568627, 1.0)</t>
  </si>
  <si>
    <t>(0.7372549019607844, 0.5019607843137255, 0.7411764705882353, 1.0)</t>
  </si>
  <si>
    <t>Cellular</t>
  </si>
  <si>
    <t>Planar</t>
  </si>
  <si>
    <t>Notes</t>
  </si>
  <si>
    <t>Tip Temp Oscillation</t>
  </si>
  <si>
    <t>Early transient banding</t>
  </si>
  <si>
    <t>Tip Temp Oscillation, odd blobs forming</t>
  </si>
  <si>
    <t>inconclusive</t>
  </si>
  <si>
    <t>C_formated</t>
  </si>
  <si>
    <t>job #</t>
  </si>
  <si>
    <t>C_rounded</t>
  </si>
  <si>
    <t>Sort of oscillatory interface</t>
  </si>
  <si>
    <t>Transient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</si>
</sst>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ABB7-5B31-4771-A53F-301F661AB387}">
  <dimension ref="A1:T13"/>
  <sheetViews>
    <sheetView workbookViewId="0">
      <selection activeCell="A5" sqref="A5:XFD5"/>
    </sheetView>
  </sheetViews>
  <sheetFormatPr defaultRowHeight="14.6" x14ac:dyDescent="0.4"/>
  <cols>
    <col min="3" max="3" width="9.3828125" style="3" bestFit="1" customWidth="1"/>
    <col min="4" max="4" width="9.84375" style="2" customWidth="1"/>
    <col min="5" max="5" width="9.23046875" customWidth="1"/>
    <col min="19" max="19" width="10.23046875" bestFit="1" customWidth="1"/>
  </cols>
  <sheetData>
    <row r="1" spans="1:20" x14ac:dyDescent="0.4">
      <c r="A1" t="s">
        <v>0</v>
      </c>
      <c r="B1" t="s">
        <v>35</v>
      </c>
      <c r="C1" s="3" t="s">
        <v>1</v>
      </c>
      <c r="D1" s="2" t="s">
        <v>36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34</v>
      </c>
      <c r="T1" t="s">
        <v>15</v>
      </c>
    </row>
    <row r="2" spans="1:20" x14ac:dyDescent="0.4">
      <c r="A2" t="s">
        <v>16</v>
      </c>
      <c r="B2">
        <v>0</v>
      </c>
      <c r="C2" s="3">
        <v>3556000</v>
      </c>
      <c r="D2" s="2">
        <f>ROUND(E2, 5)</f>
        <v>0.16958999999999999</v>
      </c>
      <c r="E2">
        <v>0.169591837</v>
      </c>
      <c r="F2">
        <v>0.252</v>
      </c>
      <c r="G2">
        <v>0.519789795</v>
      </c>
      <c r="H2">
        <v>0</v>
      </c>
      <c r="I2">
        <v>0</v>
      </c>
      <c r="J2" t="s">
        <v>27</v>
      </c>
      <c r="L2">
        <v>6.5510204080000003</v>
      </c>
      <c r="M2">
        <v>-0.40546510800000002</v>
      </c>
      <c r="O2">
        <v>0.52837478900000001</v>
      </c>
      <c r="P2">
        <v>0.72108489499999995</v>
      </c>
      <c r="Q2">
        <v>0.99767564099999995</v>
      </c>
      <c r="R2" t="s">
        <v>17</v>
      </c>
      <c r="S2">
        <f>ROUND(E2*100, 3)</f>
        <v>16.959</v>
      </c>
      <c r="T2" s="1">
        <f t="shared" ref="T2:T11" si="0">90/C2/F2</f>
        <v>1.0043387433713643E-4</v>
      </c>
    </row>
    <row r="3" spans="1:20" x14ac:dyDescent="0.4">
      <c r="A3" t="s">
        <v>16</v>
      </c>
      <c r="B3">
        <v>1</v>
      </c>
      <c r="C3" s="3">
        <v>409500</v>
      </c>
      <c r="D3" s="2">
        <f t="shared" ref="D3:D11" si="1">ROUND(E3, 5)</f>
        <v>0.17122000000000001</v>
      </c>
      <c r="E3">
        <v>0.17122449000000001</v>
      </c>
      <c r="F3">
        <v>0.40799999999999997</v>
      </c>
      <c r="G3">
        <v>0.53244872200000004</v>
      </c>
      <c r="H3">
        <v>0</v>
      </c>
      <c r="I3">
        <v>1</v>
      </c>
      <c r="J3" t="s">
        <v>28</v>
      </c>
      <c r="L3">
        <v>5.6122448980000001</v>
      </c>
      <c r="M3">
        <v>-0.40546510800000002</v>
      </c>
      <c r="O3">
        <v>0.52726194400000004</v>
      </c>
      <c r="P3">
        <v>0.87960059800000001</v>
      </c>
      <c r="Q3">
        <v>0.99785447500000002</v>
      </c>
      <c r="R3" t="s">
        <v>18</v>
      </c>
      <c r="S3">
        <f t="shared" ref="S3:S11" si="2">ROUND(E3*100, 3)</f>
        <v>17.122</v>
      </c>
      <c r="T3" s="1">
        <f t="shared" si="0"/>
        <v>5.386770092652446E-4</v>
      </c>
    </row>
    <row r="4" spans="1:20" x14ac:dyDescent="0.4">
      <c r="A4" t="s">
        <v>16</v>
      </c>
      <c r="B4">
        <v>2</v>
      </c>
      <c r="C4" s="3">
        <v>790600</v>
      </c>
      <c r="D4" s="2">
        <f t="shared" si="1"/>
        <v>0.1598</v>
      </c>
      <c r="E4">
        <v>0.15979591800000001</v>
      </c>
      <c r="F4">
        <v>0.312</v>
      </c>
      <c r="G4">
        <v>0.46086905500000003</v>
      </c>
      <c r="H4">
        <v>0</v>
      </c>
      <c r="I4">
        <v>1</v>
      </c>
      <c r="J4" t="s">
        <v>28</v>
      </c>
      <c r="L4">
        <v>5.8979591840000003</v>
      </c>
      <c r="M4">
        <v>-0.40546510800000002</v>
      </c>
      <c r="O4">
        <v>0.48006512400000001</v>
      </c>
      <c r="P4">
        <v>0.54841126299999998</v>
      </c>
      <c r="Q4">
        <v>0.99885304399999997</v>
      </c>
      <c r="R4" t="s">
        <v>19</v>
      </c>
      <c r="S4">
        <f t="shared" si="2"/>
        <v>15.98</v>
      </c>
      <c r="T4" s="1">
        <f t="shared" si="0"/>
        <v>3.648640759695655E-4</v>
      </c>
    </row>
    <row r="5" spans="1:20" x14ac:dyDescent="0.4">
      <c r="A5" t="s">
        <v>16</v>
      </c>
      <c r="B5">
        <v>3</v>
      </c>
      <c r="C5" s="3">
        <v>868500</v>
      </c>
      <c r="D5" s="2">
        <f t="shared" si="1"/>
        <v>0.18509999999999999</v>
      </c>
      <c r="E5">
        <v>0.18510204099999999</v>
      </c>
      <c r="F5">
        <v>0.39600000000000002</v>
      </c>
      <c r="G5">
        <v>0.60052070999999996</v>
      </c>
      <c r="H5">
        <v>0</v>
      </c>
      <c r="I5" t="s">
        <v>33</v>
      </c>
      <c r="J5" t="s">
        <v>33</v>
      </c>
      <c r="K5" t="s">
        <v>32</v>
      </c>
      <c r="L5">
        <v>5.9387755100000001</v>
      </c>
      <c r="M5">
        <v>-0.40546510800000002</v>
      </c>
      <c r="O5">
        <v>0.44095301399999998</v>
      </c>
      <c r="P5">
        <v>0.86324267399999999</v>
      </c>
      <c r="Q5">
        <v>0.98991643799999995</v>
      </c>
      <c r="R5" t="s">
        <v>20</v>
      </c>
      <c r="S5">
        <f t="shared" si="2"/>
        <v>18.510000000000002</v>
      </c>
      <c r="T5" s="1">
        <f t="shared" si="0"/>
        <v>2.6168419950803372E-4</v>
      </c>
    </row>
    <row r="6" spans="1:20" x14ac:dyDescent="0.4">
      <c r="A6" t="s">
        <v>16</v>
      </c>
      <c r="B6">
        <v>4</v>
      </c>
      <c r="C6" s="3">
        <v>1265000</v>
      </c>
      <c r="D6" s="2">
        <f t="shared" si="1"/>
        <v>0.17449000000000001</v>
      </c>
      <c r="E6">
        <v>0.174489796</v>
      </c>
      <c r="F6">
        <v>0.372</v>
      </c>
      <c r="G6">
        <v>0.54541594299999996</v>
      </c>
      <c r="H6">
        <v>0</v>
      </c>
      <c r="I6">
        <v>1</v>
      </c>
      <c r="J6" t="s">
        <v>28</v>
      </c>
      <c r="L6">
        <v>6.1020408159999997</v>
      </c>
      <c r="M6">
        <v>-0.40546510800000002</v>
      </c>
      <c r="O6">
        <v>0.48387775999999999</v>
      </c>
      <c r="P6">
        <v>0.805421728</v>
      </c>
      <c r="Q6">
        <v>0.99924988000000003</v>
      </c>
      <c r="R6" t="s">
        <v>21</v>
      </c>
      <c r="S6">
        <f t="shared" si="2"/>
        <v>17.449000000000002</v>
      </c>
      <c r="T6" s="1">
        <f t="shared" si="0"/>
        <v>1.9125334693357134E-4</v>
      </c>
    </row>
    <row r="7" spans="1:20" x14ac:dyDescent="0.4">
      <c r="A7" t="s">
        <v>16</v>
      </c>
      <c r="B7">
        <v>5</v>
      </c>
      <c r="C7" s="3">
        <v>212100</v>
      </c>
      <c r="D7" s="2">
        <f t="shared" si="1"/>
        <v>0.15407999999999999</v>
      </c>
      <c r="E7">
        <v>0.154081633</v>
      </c>
      <c r="F7">
        <v>0.372</v>
      </c>
      <c r="G7">
        <v>0.42877299800000002</v>
      </c>
      <c r="H7">
        <v>0</v>
      </c>
      <c r="I7">
        <v>1</v>
      </c>
      <c r="J7" t="s">
        <v>28</v>
      </c>
      <c r="L7">
        <v>5.326530612</v>
      </c>
      <c r="M7">
        <v>-0.40546510800000002</v>
      </c>
      <c r="O7">
        <v>0.46904706099999999</v>
      </c>
      <c r="P7">
        <v>0.84368376099999998</v>
      </c>
      <c r="Q7">
        <v>0.99723378399999996</v>
      </c>
      <c r="R7" t="s">
        <v>22</v>
      </c>
      <c r="S7">
        <f t="shared" si="2"/>
        <v>15.407999999999999</v>
      </c>
      <c r="T7" s="1">
        <f t="shared" si="0"/>
        <v>1.1406670620979149E-3</v>
      </c>
    </row>
    <row r="8" spans="1:20" x14ac:dyDescent="0.4">
      <c r="A8" t="s">
        <v>16</v>
      </c>
      <c r="B8">
        <v>6</v>
      </c>
      <c r="C8" s="3">
        <v>3556000</v>
      </c>
      <c r="D8" s="2">
        <f t="shared" si="1"/>
        <v>0.18346999999999999</v>
      </c>
      <c r="E8">
        <v>0.18346938800000001</v>
      </c>
      <c r="F8">
        <v>0.27600000000000002</v>
      </c>
      <c r="G8">
        <v>0.60052070999999996</v>
      </c>
      <c r="H8">
        <v>0</v>
      </c>
      <c r="I8">
        <v>0</v>
      </c>
      <c r="J8" t="s">
        <v>27</v>
      </c>
      <c r="K8" t="s">
        <v>31</v>
      </c>
      <c r="L8">
        <v>6.5510204080000003</v>
      </c>
      <c r="M8">
        <v>-0.40546510800000002</v>
      </c>
      <c r="O8">
        <v>0.51360304800000001</v>
      </c>
      <c r="P8">
        <v>0.65792468199999998</v>
      </c>
      <c r="Q8">
        <v>0.99946601300000004</v>
      </c>
      <c r="R8" t="s">
        <v>23</v>
      </c>
      <c r="S8">
        <f t="shared" si="2"/>
        <v>18.347000000000001</v>
      </c>
      <c r="T8" s="1">
        <f t="shared" si="0"/>
        <v>9.1700493959994116E-5</v>
      </c>
    </row>
    <row r="9" spans="1:20" x14ac:dyDescent="0.4">
      <c r="A9" t="s">
        <v>16</v>
      </c>
      <c r="B9">
        <v>7</v>
      </c>
      <c r="C9" s="3">
        <v>175800</v>
      </c>
      <c r="D9" s="2">
        <f t="shared" si="1"/>
        <v>0.16469</v>
      </c>
      <c r="E9">
        <v>0.16469387799999999</v>
      </c>
      <c r="F9">
        <v>0.40799999999999997</v>
      </c>
      <c r="G9">
        <v>0.495367681</v>
      </c>
      <c r="H9">
        <v>0</v>
      </c>
      <c r="I9">
        <v>1</v>
      </c>
      <c r="J9" t="s">
        <v>28</v>
      </c>
      <c r="L9">
        <v>5.2448979590000002</v>
      </c>
      <c r="M9">
        <v>-0.40546510800000002</v>
      </c>
      <c r="O9">
        <v>0.47409250600000002</v>
      </c>
      <c r="P9">
        <v>0.88759217800000001</v>
      </c>
      <c r="Q9">
        <v>0.99806246399999998</v>
      </c>
      <c r="R9" t="s">
        <v>24</v>
      </c>
      <c r="S9">
        <f t="shared" si="2"/>
        <v>16.469000000000001</v>
      </c>
      <c r="T9" s="1">
        <f t="shared" si="0"/>
        <v>1.2547681188516363E-3</v>
      </c>
    </row>
    <row r="10" spans="1:20" x14ac:dyDescent="0.4">
      <c r="A10" t="s">
        <v>16</v>
      </c>
      <c r="B10">
        <v>8</v>
      </c>
      <c r="C10" s="3">
        <v>193100</v>
      </c>
      <c r="D10" s="2">
        <f t="shared" si="1"/>
        <v>0.18265000000000001</v>
      </c>
      <c r="E10">
        <v>0.18265306100000001</v>
      </c>
      <c r="F10">
        <v>0.432</v>
      </c>
      <c r="G10">
        <v>0.60052070999999996</v>
      </c>
      <c r="H10">
        <v>0</v>
      </c>
      <c r="I10">
        <v>1</v>
      </c>
      <c r="J10" t="s">
        <v>28</v>
      </c>
      <c r="K10" t="s">
        <v>30</v>
      </c>
      <c r="L10">
        <v>5.2857142860000002</v>
      </c>
      <c r="M10">
        <v>-0.40546510800000002</v>
      </c>
      <c r="O10">
        <v>0.530729652</v>
      </c>
      <c r="P10">
        <v>0.90452806100000005</v>
      </c>
      <c r="Q10">
        <v>0.99727357500000002</v>
      </c>
      <c r="R10" t="s">
        <v>25</v>
      </c>
      <c r="S10">
        <f t="shared" si="2"/>
        <v>18.265000000000001</v>
      </c>
      <c r="T10" s="1">
        <f t="shared" si="0"/>
        <v>1.0788883134817883E-3</v>
      </c>
    </row>
    <row r="11" spans="1:20" x14ac:dyDescent="0.4">
      <c r="A11" t="s">
        <v>16</v>
      </c>
      <c r="B11">
        <v>9</v>
      </c>
      <c r="C11" s="3">
        <v>4292000</v>
      </c>
      <c r="D11" s="2">
        <f t="shared" si="1"/>
        <v>0.15653</v>
      </c>
      <c r="E11">
        <v>0.15653061200000001</v>
      </c>
      <c r="F11">
        <v>0.22800000000000001</v>
      </c>
      <c r="G11">
        <v>0.43921530800000003</v>
      </c>
      <c r="H11">
        <v>0</v>
      </c>
      <c r="I11">
        <v>0</v>
      </c>
      <c r="J11" t="s">
        <v>27</v>
      </c>
      <c r="L11">
        <v>6.6326530610000001</v>
      </c>
      <c r="M11">
        <v>-0.40546510800000002</v>
      </c>
      <c r="O11">
        <v>0.55473005399999997</v>
      </c>
      <c r="P11">
        <v>0.76996437500000003</v>
      </c>
      <c r="Q11">
        <v>0.99133982099999995</v>
      </c>
      <c r="R11" t="s">
        <v>26</v>
      </c>
      <c r="S11">
        <f t="shared" si="2"/>
        <v>15.653</v>
      </c>
      <c r="T11" s="1">
        <f t="shared" si="0"/>
        <v>9.1970373277088332E-5</v>
      </c>
    </row>
    <row r="13" spans="1:20" x14ac:dyDescent="0.4">
      <c r="T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8153-91D3-4A34-B157-A1E159E5EC5D}">
  <dimension ref="A1:T11"/>
  <sheetViews>
    <sheetView tabSelected="1" workbookViewId="0">
      <selection activeCell="H11" sqref="H11"/>
    </sheetView>
  </sheetViews>
  <sheetFormatPr defaultRowHeight="14.6" x14ac:dyDescent="0.4"/>
  <cols>
    <col min="3" max="3" width="9.3828125" style="3" bestFit="1" customWidth="1"/>
    <col min="19" max="19" width="10.23046875" bestFit="1" customWidth="1"/>
  </cols>
  <sheetData>
    <row r="1" spans="1:20" x14ac:dyDescent="0.4">
      <c r="A1" t="s">
        <v>0</v>
      </c>
      <c r="B1" t="s">
        <v>35</v>
      </c>
      <c r="C1" s="3" t="s">
        <v>1</v>
      </c>
      <c r="D1" s="2" t="s">
        <v>36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34</v>
      </c>
      <c r="T1" t="s">
        <v>15</v>
      </c>
    </row>
    <row r="2" spans="1:20" x14ac:dyDescent="0.4">
      <c r="A2" t="s">
        <v>16</v>
      </c>
      <c r="B2">
        <v>0</v>
      </c>
      <c r="C2" s="3">
        <v>3906939.9370546099</v>
      </c>
      <c r="D2">
        <f>ROUND(E2, 5)</f>
        <v>0.15490000000000001</v>
      </c>
      <c r="E2">
        <v>0.154897959183673</v>
      </c>
      <c r="F2">
        <v>0.27599999999999902</v>
      </c>
      <c r="G2">
        <v>0.43921530753244797</v>
      </c>
      <c r="H2">
        <v>0</v>
      </c>
      <c r="I2">
        <v>1</v>
      </c>
      <c r="J2" t="s">
        <v>28</v>
      </c>
      <c r="L2">
        <v>6.59183673469387</v>
      </c>
      <c r="M2">
        <v>-0.405465108108164</v>
      </c>
      <c r="O2">
        <v>0.657077087244195</v>
      </c>
      <c r="P2">
        <v>0.65354220730053902</v>
      </c>
      <c r="Q2">
        <v>0.92758830617392196</v>
      </c>
      <c r="R2" t="s">
        <v>17</v>
      </c>
      <c r="S2">
        <f>D2*100</f>
        <v>15.49</v>
      </c>
      <c r="T2" s="3">
        <f>200/C2/F2</f>
        <v>1.8547448715214128E-4</v>
      </c>
    </row>
    <row r="3" spans="1:20" x14ac:dyDescent="0.4">
      <c r="A3" t="s">
        <v>16</v>
      </c>
      <c r="B3">
        <v>1</v>
      </c>
      <c r="C3" s="3">
        <v>145634.847750124</v>
      </c>
      <c r="D3">
        <f t="shared" ref="D3:D11" si="0">ROUND(E3, 5)</f>
        <v>0.17286000000000001</v>
      </c>
      <c r="E3">
        <v>0.17285714285714199</v>
      </c>
      <c r="F3">
        <v>0.33599999999999902</v>
      </c>
      <c r="G3">
        <v>0.54541594332571297</v>
      </c>
      <c r="H3">
        <v>0</v>
      </c>
      <c r="I3">
        <v>0.5</v>
      </c>
      <c r="J3" t="s">
        <v>38</v>
      </c>
      <c r="L3">
        <v>5.1632653061224403</v>
      </c>
      <c r="M3">
        <v>-0.405465108108164</v>
      </c>
      <c r="O3">
        <v>0.50236879671849</v>
      </c>
      <c r="P3">
        <v>0.72629858617779397</v>
      </c>
      <c r="Q3">
        <v>0.99998380944468501</v>
      </c>
      <c r="R3" t="s">
        <v>18</v>
      </c>
      <c r="S3">
        <f t="shared" ref="S3:S11" si="1">D3*100</f>
        <v>17.286000000000001</v>
      </c>
      <c r="T3" s="3">
        <f t="shared" ref="T3:T11" si="2">200/C3/F3</f>
        <v>4.0871955059779991E-3</v>
      </c>
    </row>
    <row r="4" spans="1:20" x14ac:dyDescent="0.4">
      <c r="A4" t="s">
        <v>16</v>
      </c>
      <c r="B4">
        <v>2</v>
      </c>
      <c r="C4" s="3">
        <v>175751.06248547899</v>
      </c>
      <c r="D4">
        <f t="shared" si="0"/>
        <v>0.15570999999999999</v>
      </c>
      <c r="E4">
        <v>0.155714285714285</v>
      </c>
      <c r="F4">
        <v>0.3</v>
      </c>
      <c r="G4">
        <v>0.43921530753244797</v>
      </c>
      <c r="H4">
        <v>0</v>
      </c>
      <c r="I4">
        <v>0.5</v>
      </c>
      <c r="J4" t="s">
        <v>38</v>
      </c>
      <c r="L4">
        <v>5.2448979591836702</v>
      </c>
      <c r="M4">
        <v>-0.405465108108164</v>
      </c>
      <c r="O4">
        <v>0.44539913029933798</v>
      </c>
      <c r="P4">
        <v>0.67412523033757499</v>
      </c>
      <c r="Q4">
        <v>0.991380737726688</v>
      </c>
      <c r="R4" t="s">
        <v>19</v>
      </c>
      <c r="S4">
        <f t="shared" si="1"/>
        <v>15.570999999999998</v>
      </c>
      <c r="T4" s="3">
        <f t="shared" si="2"/>
        <v>3.7932440193455355E-3</v>
      </c>
    </row>
    <row r="5" spans="1:20" x14ac:dyDescent="0.4">
      <c r="A5" t="s">
        <v>16</v>
      </c>
      <c r="B5">
        <v>3</v>
      </c>
      <c r="C5" s="3">
        <v>232995.18105153699</v>
      </c>
      <c r="D5">
        <f t="shared" si="0"/>
        <v>0.18509999999999999</v>
      </c>
      <c r="E5">
        <v>0.185102040816326</v>
      </c>
      <c r="F5">
        <v>0.34799999999999998</v>
      </c>
      <c r="G5">
        <v>0.60052070996723395</v>
      </c>
      <c r="H5">
        <v>0</v>
      </c>
      <c r="I5">
        <v>0.5</v>
      </c>
      <c r="J5" t="s">
        <v>38</v>
      </c>
      <c r="L5">
        <v>5.3673469387755102</v>
      </c>
      <c r="M5">
        <v>-0.405465108108164</v>
      </c>
      <c r="O5">
        <v>0.61674590252500905</v>
      </c>
      <c r="P5">
        <v>0.77130444164989098</v>
      </c>
      <c r="Q5">
        <v>0.960307903961932</v>
      </c>
      <c r="R5" t="s">
        <v>20</v>
      </c>
      <c r="S5">
        <f t="shared" si="1"/>
        <v>18.509999999999998</v>
      </c>
      <c r="T5" s="3">
        <f t="shared" si="2"/>
        <v>2.466628885131484E-3</v>
      </c>
    </row>
    <row r="6" spans="1:20" x14ac:dyDescent="0.4">
      <c r="A6" t="s">
        <v>16</v>
      </c>
      <c r="B6">
        <v>4</v>
      </c>
      <c r="C6" s="3">
        <v>3906939.9370546099</v>
      </c>
      <c r="D6">
        <f t="shared" si="0"/>
        <v>0.18346999999999999</v>
      </c>
      <c r="E6">
        <v>0.18346938775510199</v>
      </c>
      <c r="F6">
        <v>0.3</v>
      </c>
      <c r="G6">
        <v>0.60052070996723395</v>
      </c>
      <c r="H6">
        <v>0</v>
      </c>
      <c r="I6">
        <v>0</v>
      </c>
      <c r="J6" t="s">
        <v>27</v>
      </c>
      <c r="K6" t="s">
        <v>31</v>
      </c>
      <c r="L6">
        <v>6.59183673469387</v>
      </c>
      <c r="M6">
        <v>-0.405465108108164</v>
      </c>
      <c r="O6">
        <v>0.51329457422231595</v>
      </c>
      <c r="P6">
        <v>0.55984091915536305</v>
      </c>
      <c r="Q6">
        <v>0.99948995959117704</v>
      </c>
      <c r="R6" t="s">
        <v>21</v>
      </c>
      <c r="S6">
        <f t="shared" si="1"/>
        <v>18.346999999999998</v>
      </c>
      <c r="T6" s="3">
        <f t="shared" si="2"/>
        <v>1.7063652817996938E-4</v>
      </c>
    </row>
    <row r="7" spans="1:20" x14ac:dyDescent="0.4">
      <c r="A7" t="s">
        <v>16</v>
      </c>
      <c r="B7">
        <v>5</v>
      </c>
      <c r="C7" s="3">
        <v>954095.47634999396</v>
      </c>
      <c r="D7">
        <f t="shared" si="0"/>
        <v>0.18346999999999999</v>
      </c>
      <c r="E7">
        <v>0.18346938775510199</v>
      </c>
      <c r="F7">
        <v>0.33599999999999902</v>
      </c>
      <c r="G7">
        <v>0.60052070996723395</v>
      </c>
      <c r="H7">
        <v>0</v>
      </c>
      <c r="I7">
        <v>0.5</v>
      </c>
      <c r="J7" t="s">
        <v>38</v>
      </c>
      <c r="L7">
        <v>5.9795918367346896</v>
      </c>
      <c r="M7">
        <v>-0.405465108108164</v>
      </c>
      <c r="O7">
        <v>0.65989625993643897</v>
      </c>
      <c r="P7">
        <v>0.71067772087127201</v>
      </c>
      <c r="Q7">
        <v>0.92491794249124004</v>
      </c>
      <c r="R7" t="s">
        <v>22</v>
      </c>
      <c r="S7">
        <f t="shared" si="1"/>
        <v>18.346999999999998</v>
      </c>
      <c r="T7" s="3">
        <f t="shared" si="2"/>
        <v>6.2387686556826711E-4</v>
      </c>
    </row>
    <row r="8" spans="1:20" x14ac:dyDescent="0.4">
      <c r="A8" t="s">
        <v>16</v>
      </c>
      <c r="B8">
        <v>6</v>
      </c>
      <c r="C8" s="3">
        <v>1842069.9693267101</v>
      </c>
      <c r="D8">
        <f t="shared" si="0"/>
        <v>0.17041000000000001</v>
      </c>
      <c r="E8">
        <v>0.170408163265306</v>
      </c>
      <c r="F8">
        <v>0.312</v>
      </c>
      <c r="G8">
        <v>0.51978979481520005</v>
      </c>
      <c r="H8">
        <v>0</v>
      </c>
      <c r="I8">
        <v>0</v>
      </c>
      <c r="J8" t="s">
        <v>27</v>
      </c>
      <c r="L8">
        <v>6.2653061224489797</v>
      </c>
      <c r="M8">
        <v>-0.405465108108164</v>
      </c>
      <c r="O8">
        <v>0.58378610921605101</v>
      </c>
      <c r="P8">
        <v>0.56862370856409605</v>
      </c>
      <c r="Q8">
        <v>0.97964835860500799</v>
      </c>
      <c r="R8" t="s">
        <v>23</v>
      </c>
      <c r="S8">
        <f t="shared" si="1"/>
        <v>17.041</v>
      </c>
      <c r="T8" s="3">
        <f t="shared" si="2"/>
        <v>3.4799201534127419E-4</v>
      </c>
    </row>
    <row r="9" spans="1:20" x14ac:dyDescent="0.4">
      <c r="A9" t="s">
        <v>16</v>
      </c>
      <c r="B9">
        <v>7</v>
      </c>
      <c r="C9" s="3">
        <v>790604.32109076995</v>
      </c>
      <c r="D9">
        <f t="shared" si="0"/>
        <v>0.15653</v>
      </c>
      <c r="E9">
        <v>0.156530612244897</v>
      </c>
      <c r="F9">
        <v>0.28799999999999998</v>
      </c>
      <c r="G9">
        <v>0.43921530753244797</v>
      </c>
      <c r="H9">
        <v>0</v>
      </c>
      <c r="I9">
        <v>1</v>
      </c>
      <c r="J9" t="s">
        <v>28</v>
      </c>
      <c r="K9" t="s">
        <v>37</v>
      </c>
      <c r="L9">
        <v>5.8979591836734597</v>
      </c>
      <c r="M9">
        <v>-0.405465108108164</v>
      </c>
      <c r="O9">
        <v>0.65268040755455903</v>
      </c>
      <c r="P9">
        <v>0.57881417220864695</v>
      </c>
      <c r="Q9">
        <v>0.93165141655148198</v>
      </c>
      <c r="R9" t="s">
        <v>24</v>
      </c>
      <c r="S9">
        <f t="shared" si="1"/>
        <v>15.653</v>
      </c>
      <c r="T9" s="3">
        <f t="shared" si="2"/>
        <v>8.7837167837173354E-4</v>
      </c>
    </row>
    <row r="10" spans="1:20" x14ac:dyDescent="0.4">
      <c r="A10" t="s">
        <v>16</v>
      </c>
      <c r="B10">
        <v>8</v>
      </c>
      <c r="C10" s="3">
        <v>409491.50623804203</v>
      </c>
      <c r="D10">
        <f t="shared" si="0"/>
        <v>0.16958999999999999</v>
      </c>
      <c r="E10">
        <v>0.169591836734693</v>
      </c>
      <c r="F10">
        <v>0.32399999999999901</v>
      </c>
      <c r="G10">
        <v>0.51978979481520005</v>
      </c>
      <c r="H10">
        <v>0</v>
      </c>
      <c r="I10">
        <v>0.5</v>
      </c>
      <c r="J10" t="s">
        <v>38</v>
      </c>
      <c r="L10">
        <v>5.6122448979591804</v>
      </c>
      <c r="M10">
        <v>-0.405465108108164</v>
      </c>
      <c r="O10">
        <v>0.58387632629084696</v>
      </c>
      <c r="P10">
        <v>0.63798789267890998</v>
      </c>
      <c r="Q10">
        <v>0.97960429815486005</v>
      </c>
      <c r="R10" t="s">
        <v>25</v>
      </c>
      <c r="S10">
        <f t="shared" si="1"/>
        <v>16.959</v>
      </c>
      <c r="T10" s="3">
        <f t="shared" si="2"/>
        <v>1.5074401818201617E-3</v>
      </c>
    </row>
    <row r="11" spans="1:20" x14ac:dyDescent="0.4">
      <c r="A11" t="s">
        <v>16</v>
      </c>
      <c r="B11">
        <v>9</v>
      </c>
      <c r="C11" s="3">
        <v>5689866.0290182903</v>
      </c>
      <c r="D11">
        <f t="shared" si="0"/>
        <v>0.16633000000000001</v>
      </c>
      <c r="E11">
        <v>0.16632653061224401</v>
      </c>
      <c r="F11">
        <v>0.27599999999999902</v>
      </c>
      <c r="G11">
        <v>0.50743183290398397</v>
      </c>
      <c r="H11">
        <v>0</v>
      </c>
      <c r="I11">
        <v>1</v>
      </c>
      <c r="J11" t="s">
        <v>28</v>
      </c>
      <c r="L11">
        <v>6.75510204081632</v>
      </c>
      <c r="M11">
        <v>-0.405465108108164</v>
      </c>
      <c r="O11">
        <v>0.36135990502304999</v>
      </c>
      <c r="P11">
        <v>0.60443714762428002</v>
      </c>
      <c r="Q11">
        <v>0.94380622558601102</v>
      </c>
      <c r="R11" t="s">
        <v>26</v>
      </c>
      <c r="S11">
        <f t="shared" si="1"/>
        <v>16.632999999999999</v>
      </c>
      <c r="T11" s="3">
        <f t="shared" si="2"/>
        <v>1.2735584238078262E-4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batch2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Mancias, Jose Armando</dc:creator>
  <cp:lastModifiedBy>Mancias, Jose Armando</cp:lastModifiedBy>
  <dcterms:created xsi:type="dcterms:W3CDTF">2025-02-17T16:22:46Z</dcterms:created>
  <dcterms:modified xsi:type="dcterms:W3CDTF">2025-02-20T16:07:28Z</dcterms:modified>
</cp:coreProperties>
</file>