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mancias\Downloads\"/>
    </mc:Choice>
  </mc:AlternateContent>
  <xr:revisionPtr revIDLastSave="0" documentId="13_ncr:9_{9F209E4A-7AA4-4F55-9E49-36F92FC18B6F}" xr6:coauthVersionLast="47" xr6:coauthVersionMax="47" xr10:uidLastSave="{00000000-0000-0000-0000-000000000000}"/>
  <bookViews>
    <workbookView xWindow="1697" yWindow="2400" windowWidth="29246" windowHeight="9103" xr2:uid="{66476FE8-0BE2-4298-A393-508FFBEB29D4}"/>
  </bookViews>
  <sheets>
    <sheet name="batch1" sheetId="1" r:id="rId1"/>
  </sheets>
  <calcPr calcId="0"/>
</workbook>
</file>

<file path=xl/calcChain.xml><?xml version="1.0" encoding="utf-8"?>
<calcChain xmlns="http://schemas.openxmlformats.org/spreadsheetml/2006/main">
  <c r="U2" i="1" l="1"/>
  <c r="D3" i="1"/>
  <c r="D4" i="1"/>
  <c r="D5" i="1"/>
  <c r="D6" i="1"/>
  <c r="D7" i="1"/>
  <c r="D8" i="1"/>
  <c r="D9" i="1"/>
  <c r="D10" i="1"/>
  <c r="D11" i="1"/>
  <c r="D2" i="1"/>
  <c r="U3" i="1"/>
  <c r="U4" i="1"/>
  <c r="U5" i="1"/>
  <c r="U6" i="1"/>
  <c r="U7" i="1"/>
  <c r="U8" i="1"/>
  <c r="U9" i="1"/>
  <c r="U10" i="1"/>
  <c r="U11" i="1"/>
  <c r="T3" i="1"/>
  <c r="T4" i="1"/>
  <c r="T5" i="1"/>
  <c r="T6" i="1"/>
  <c r="T7" i="1"/>
  <c r="T8" i="1"/>
  <c r="T9" i="1"/>
  <c r="T10" i="1"/>
  <c r="T11" i="1"/>
  <c r="T2" i="1"/>
</calcChain>
</file>

<file path=xl/sharedStrings.xml><?xml version="1.0" encoding="utf-8"?>
<sst xmlns="http://schemas.openxmlformats.org/spreadsheetml/2006/main" count="54" uniqueCount="37">
  <si>
    <t>Source</t>
  </si>
  <si>
    <t>G</t>
  </si>
  <si>
    <t>C</t>
  </si>
  <si>
    <t>R</t>
  </si>
  <si>
    <t>Vab</t>
  </si>
  <si>
    <t>Prior</t>
  </si>
  <si>
    <t>Truth</t>
  </si>
  <si>
    <t>Explanation</t>
  </si>
  <si>
    <t>log10(G)</t>
  </si>
  <si>
    <t>Prior_Scaled</t>
  </si>
  <si>
    <t>Truth_Scaled</t>
  </si>
  <si>
    <t>Predicted_Probability</t>
  </si>
  <si>
    <t>Std_Dev</t>
  </si>
  <si>
    <t>H</t>
  </si>
  <si>
    <t>cluster_color</t>
  </si>
  <si>
    <t>Time</t>
  </si>
  <si>
    <t>Grid</t>
  </si>
  <si>
    <t>(0.5529411764705883, 0.8274509803921568, 0.7803921568627451, 1.0)</t>
  </si>
  <si>
    <t>(1.0, 1.0, 0.7019607843137254, 1.0)</t>
  </si>
  <si>
    <t>(0.7450980392156863, 0.7294117647058823, 0.8549019607843137, 1.0)</t>
  </si>
  <si>
    <t>(0.984313725490196, 0.5019607843137255, 0.4470588235294118, 1.0)</t>
  </si>
  <si>
    <t>(0.5019607843137255, 0.6941176470588235, 0.8274509803921568, 1.0)</t>
  </si>
  <si>
    <t>(0.9921568627450981, 0.7058823529411765, 0.3843137254901961, 1.0)</t>
  </si>
  <si>
    <t>(0.7019607843137254, 0.8705882352941177, 0.4117647058823529, 1.0)</t>
  </si>
  <si>
    <t>(0.9882352941176471, 0.803921568627451, 0.8980392156862745, 1.0)</t>
  </si>
  <si>
    <t>(0.8509803921568627, 0.8509803921568627, 0.8509803921568627, 1.0)</t>
  </si>
  <si>
    <t>(0.7372549019607844, 0.5019607843137255, 0.7411764705882353, 1.0)</t>
  </si>
  <si>
    <t>Cellular</t>
  </si>
  <si>
    <t>Planar</t>
  </si>
  <si>
    <t>Notes</t>
  </si>
  <si>
    <t>Tip Temp Oscillation</t>
  </si>
  <si>
    <t>Early transient banding</t>
  </si>
  <si>
    <t>Tip Temp Oscillation, odd blobs forming</t>
  </si>
  <si>
    <t>inconclusive</t>
  </si>
  <si>
    <t>C_formated</t>
  </si>
  <si>
    <t>job #</t>
  </si>
  <si>
    <t>C_rounded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</si>
</sst>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6" formatCode="0.00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ABB7-5B31-4771-A53F-301F661AB387}">
  <dimension ref="A1:U13"/>
  <sheetViews>
    <sheetView tabSelected="1" workbookViewId="0">
      <selection activeCell="F13" sqref="F13"/>
    </sheetView>
  </sheetViews>
  <sheetFormatPr defaultRowHeight="14.6" x14ac:dyDescent="0.4"/>
  <cols>
    <col min="3" max="3" width="9.3828125" style="3" bestFit="1" customWidth="1"/>
    <col min="4" max="4" width="9.84375" style="2" customWidth="1"/>
    <col min="5" max="5" width="9.23046875" customWidth="1"/>
    <col min="20" max="20" width="10.23046875" bestFit="1" customWidth="1"/>
  </cols>
  <sheetData>
    <row r="1" spans="1:21" x14ac:dyDescent="0.4">
      <c r="A1" t="s">
        <v>0</v>
      </c>
      <c r="B1" t="s">
        <v>35</v>
      </c>
      <c r="C1" s="3" t="s">
        <v>1</v>
      </c>
      <c r="D1" s="2" t="s">
        <v>36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T1" t="s">
        <v>34</v>
      </c>
      <c r="U1" t="s">
        <v>15</v>
      </c>
    </row>
    <row r="2" spans="1:21" x14ac:dyDescent="0.4">
      <c r="A2" t="s">
        <v>16</v>
      </c>
      <c r="B2">
        <v>0</v>
      </c>
      <c r="C2" s="3">
        <v>3556000</v>
      </c>
      <c r="D2" s="2">
        <f>ROUND(E2, 5)</f>
        <v>0.16958999999999999</v>
      </c>
      <c r="E2">
        <v>0.169591837</v>
      </c>
      <c r="F2">
        <v>0.252</v>
      </c>
      <c r="G2">
        <v>0.519789795</v>
      </c>
      <c r="H2">
        <v>0</v>
      </c>
      <c r="I2">
        <v>0</v>
      </c>
      <c r="J2" t="s">
        <v>27</v>
      </c>
      <c r="L2">
        <v>6.5510204080000003</v>
      </c>
      <c r="M2">
        <v>-0.40546510800000002</v>
      </c>
      <c r="O2">
        <v>0.52837478900000001</v>
      </c>
      <c r="P2">
        <v>0.72108489499999995</v>
      </c>
      <c r="Q2">
        <v>0.99767564099999995</v>
      </c>
      <c r="R2" t="s">
        <v>17</v>
      </c>
      <c r="T2">
        <f>ROUND(E2*100, 3)</f>
        <v>16.959</v>
      </c>
      <c r="U2" s="1">
        <f>90/C2/F2</f>
        <v>1.0043387433713643E-4</v>
      </c>
    </row>
    <row r="3" spans="1:21" x14ac:dyDescent="0.4">
      <c r="A3" t="s">
        <v>16</v>
      </c>
      <c r="B3">
        <v>1</v>
      </c>
      <c r="C3" s="3">
        <v>409500</v>
      </c>
      <c r="D3" s="2">
        <f t="shared" ref="D3:D11" si="0">ROUND(E3, 5)</f>
        <v>0.17122000000000001</v>
      </c>
      <c r="E3">
        <v>0.17122449000000001</v>
      </c>
      <c r="F3">
        <v>0.40799999999999997</v>
      </c>
      <c r="G3">
        <v>0.53244872200000004</v>
      </c>
      <c r="H3">
        <v>0</v>
      </c>
      <c r="I3">
        <v>1</v>
      </c>
      <c r="J3" t="s">
        <v>28</v>
      </c>
      <c r="L3">
        <v>5.6122448980000001</v>
      </c>
      <c r="M3">
        <v>-0.40546510800000002</v>
      </c>
      <c r="O3">
        <v>0.52726194400000004</v>
      </c>
      <c r="P3">
        <v>0.87960059800000001</v>
      </c>
      <c r="Q3">
        <v>0.99785447500000002</v>
      </c>
      <c r="R3" t="s">
        <v>18</v>
      </c>
      <c r="T3">
        <f t="shared" ref="T3:T11" si="1">ROUND(E3*100, 3)</f>
        <v>17.122</v>
      </c>
      <c r="U3" s="1">
        <f>90/C3/F3</f>
        <v>5.386770092652446E-4</v>
      </c>
    </row>
    <row r="4" spans="1:21" x14ac:dyDescent="0.4">
      <c r="A4" t="s">
        <v>16</v>
      </c>
      <c r="B4">
        <v>2</v>
      </c>
      <c r="C4" s="3">
        <v>790600</v>
      </c>
      <c r="D4" s="2">
        <f t="shared" si="0"/>
        <v>0.1598</v>
      </c>
      <c r="E4">
        <v>0.15979591800000001</v>
      </c>
      <c r="F4">
        <v>0.312</v>
      </c>
      <c r="G4">
        <v>0.46086905500000003</v>
      </c>
      <c r="H4">
        <v>0</v>
      </c>
      <c r="I4">
        <v>1</v>
      </c>
      <c r="J4" t="s">
        <v>28</v>
      </c>
      <c r="L4">
        <v>5.8979591840000003</v>
      </c>
      <c r="M4">
        <v>-0.40546510800000002</v>
      </c>
      <c r="O4">
        <v>0.48006512400000001</v>
      </c>
      <c r="P4">
        <v>0.54841126299999998</v>
      </c>
      <c r="Q4">
        <v>0.99885304399999997</v>
      </c>
      <c r="R4" t="s">
        <v>19</v>
      </c>
      <c r="T4">
        <f t="shared" si="1"/>
        <v>15.98</v>
      </c>
      <c r="U4" s="1">
        <f>90/C4/F4</f>
        <v>3.648640759695655E-4</v>
      </c>
    </row>
    <row r="5" spans="1:21" x14ac:dyDescent="0.4">
      <c r="A5" t="s">
        <v>16</v>
      </c>
      <c r="B5">
        <v>3</v>
      </c>
      <c r="C5" s="3">
        <v>868500</v>
      </c>
      <c r="D5" s="2">
        <f t="shared" si="0"/>
        <v>0.18509999999999999</v>
      </c>
      <c r="E5">
        <v>0.18510204099999999</v>
      </c>
      <c r="F5">
        <v>0.39600000000000002</v>
      </c>
      <c r="G5">
        <v>0.60052070999999996</v>
      </c>
      <c r="H5">
        <v>0</v>
      </c>
      <c r="I5" t="s">
        <v>33</v>
      </c>
      <c r="J5" t="s">
        <v>33</v>
      </c>
      <c r="K5" t="s">
        <v>32</v>
      </c>
      <c r="L5">
        <v>5.9387755100000001</v>
      </c>
      <c r="M5">
        <v>-0.40546510800000002</v>
      </c>
      <c r="O5">
        <v>0.44095301399999998</v>
      </c>
      <c r="P5">
        <v>0.86324267399999999</v>
      </c>
      <c r="Q5">
        <v>0.98991643799999995</v>
      </c>
      <c r="R5" t="s">
        <v>20</v>
      </c>
      <c r="T5">
        <f t="shared" si="1"/>
        <v>18.510000000000002</v>
      </c>
      <c r="U5" s="1">
        <f>90/C5/F5</f>
        <v>2.6168419950803372E-4</v>
      </c>
    </row>
    <row r="6" spans="1:21" x14ac:dyDescent="0.4">
      <c r="A6" t="s">
        <v>16</v>
      </c>
      <c r="B6">
        <v>4</v>
      </c>
      <c r="C6" s="3">
        <v>1265000</v>
      </c>
      <c r="D6" s="2">
        <f t="shared" si="0"/>
        <v>0.17449000000000001</v>
      </c>
      <c r="E6">
        <v>0.174489796</v>
      </c>
      <c r="F6">
        <v>0.372</v>
      </c>
      <c r="G6">
        <v>0.54541594299999996</v>
      </c>
      <c r="H6">
        <v>0</v>
      </c>
      <c r="I6">
        <v>1</v>
      </c>
      <c r="J6" t="s">
        <v>28</v>
      </c>
      <c r="L6">
        <v>6.1020408159999997</v>
      </c>
      <c r="M6">
        <v>-0.40546510800000002</v>
      </c>
      <c r="O6">
        <v>0.48387775999999999</v>
      </c>
      <c r="P6">
        <v>0.805421728</v>
      </c>
      <c r="Q6">
        <v>0.99924988000000003</v>
      </c>
      <c r="R6" t="s">
        <v>21</v>
      </c>
      <c r="T6">
        <f t="shared" si="1"/>
        <v>17.449000000000002</v>
      </c>
      <c r="U6" s="1">
        <f>90/C6/F6</f>
        <v>1.9125334693357134E-4</v>
      </c>
    </row>
    <row r="7" spans="1:21" x14ac:dyDescent="0.4">
      <c r="A7" t="s">
        <v>16</v>
      </c>
      <c r="B7">
        <v>5</v>
      </c>
      <c r="C7" s="3">
        <v>212100</v>
      </c>
      <c r="D7" s="2">
        <f t="shared" si="0"/>
        <v>0.15407999999999999</v>
      </c>
      <c r="E7">
        <v>0.154081633</v>
      </c>
      <c r="F7">
        <v>0.372</v>
      </c>
      <c r="G7">
        <v>0.42877299800000002</v>
      </c>
      <c r="H7">
        <v>0</v>
      </c>
      <c r="I7">
        <v>1</v>
      </c>
      <c r="J7" t="s">
        <v>28</v>
      </c>
      <c r="L7">
        <v>5.326530612</v>
      </c>
      <c r="M7">
        <v>-0.40546510800000002</v>
      </c>
      <c r="O7">
        <v>0.46904706099999999</v>
      </c>
      <c r="P7">
        <v>0.84368376099999998</v>
      </c>
      <c r="Q7">
        <v>0.99723378399999996</v>
      </c>
      <c r="R7" t="s">
        <v>22</v>
      </c>
      <c r="T7">
        <f t="shared" si="1"/>
        <v>15.407999999999999</v>
      </c>
      <c r="U7" s="1">
        <f>90/C7/F7</f>
        <v>1.1406670620979149E-3</v>
      </c>
    </row>
    <row r="8" spans="1:21" x14ac:dyDescent="0.4">
      <c r="A8" t="s">
        <v>16</v>
      </c>
      <c r="B8">
        <v>6</v>
      </c>
      <c r="C8" s="3">
        <v>3556000</v>
      </c>
      <c r="D8" s="2">
        <f t="shared" si="0"/>
        <v>0.18346999999999999</v>
      </c>
      <c r="E8">
        <v>0.18346938800000001</v>
      </c>
      <c r="F8">
        <v>0.27600000000000002</v>
      </c>
      <c r="G8">
        <v>0.60052070999999996</v>
      </c>
      <c r="H8">
        <v>0</v>
      </c>
      <c r="I8">
        <v>0</v>
      </c>
      <c r="J8" t="s">
        <v>27</v>
      </c>
      <c r="K8" t="s">
        <v>31</v>
      </c>
      <c r="L8">
        <v>6.5510204080000003</v>
      </c>
      <c r="M8">
        <v>-0.40546510800000002</v>
      </c>
      <c r="O8">
        <v>0.51360304800000001</v>
      </c>
      <c r="P8">
        <v>0.65792468199999998</v>
      </c>
      <c r="Q8">
        <v>0.99946601300000004</v>
      </c>
      <c r="R8" t="s">
        <v>23</v>
      </c>
      <c r="T8">
        <f t="shared" si="1"/>
        <v>18.347000000000001</v>
      </c>
      <c r="U8" s="1">
        <f>90/C8/F8</f>
        <v>9.1700493959994116E-5</v>
      </c>
    </row>
    <row r="9" spans="1:21" x14ac:dyDescent="0.4">
      <c r="A9" t="s">
        <v>16</v>
      </c>
      <c r="B9">
        <v>7</v>
      </c>
      <c r="C9" s="3">
        <v>175800</v>
      </c>
      <c r="D9" s="2">
        <f t="shared" si="0"/>
        <v>0.16469</v>
      </c>
      <c r="E9">
        <v>0.16469387799999999</v>
      </c>
      <c r="F9">
        <v>0.40799999999999997</v>
      </c>
      <c r="G9">
        <v>0.495367681</v>
      </c>
      <c r="H9">
        <v>0</v>
      </c>
      <c r="I9">
        <v>1</v>
      </c>
      <c r="J9" t="s">
        <v>28</v>
      </c>
      <c r="L9">
        <v>5.2448979590000002</v>
      </c>
      <c r="M9">
        <v>-0.40546510800000002</v>
      </c>
      <c r="O9">
        <v>0.47409250600000002</v>
      </c>
      <c r="P9">
        <v>0.88759217800000001</v>
      </c>
      <c r="Q9">
        <v>0.99806246399999998</v>
      </c>
      <c r="R9" t="s">
        <v>24</v>
      </c>
      <c r="T9">
        <f t="shared" si="1"/>
        <v>16.469000000000001</v>
      </c>
      <c r="U9" s="1">
        <f>90/C9/F9</f>
        <v>1.2547681188516363E-3</v>
      </c>
    </row>
    <row r="10" spans="1:21" x14ac:dyDescent="0.4">
      <c r="A10" t="s">
        <v>16</v>
      </c>
      <c r="B10">
        <v>8</v>
      </c>
      <c r="C10" s="3">
        <v>193100</v>
      </c>
      <c r="D10" s="2">
        <f t="shared" si="0"/>
        <v>0.18265000000000001</v>
      </c>
      <c r="E10">
        <v>0.18265306100000001</v>
      </c>
      <c r="F10">
        <v>0.432</v>
      </c>
      <c r="G10">
        <v>0.60052070999999996</v>
      </c>
      <c r="H10">
        <v>0</v>
      </c>
      <c r="I10">
        <v>1</v>
      </c>
      <c r="J10" t="s">
        <v>28</v>
      </c>
      <c r="K10" t="s">
        <v>30</v>
      </c>
      <c r="L10">
        <v>5.2857142860000002</v>
      </c>
      <c r="M10">
        <v>-0.40546510800000002</v>
      </c>
      <c r="O10">
        <v>0.530729652</v>
      </c>
      <c r="P10">
        <v>0.90452806100000005</v>
      </c>
      <c r="Q10">
        <v>0.99727357500000002</v>
      </c>
      <c r="R10" t="s">
        <v>25</v>
      </c>
      <c r="T10">
        <f t="shared" si="1"/>
        <v>18.265000000000001</v>
      </c>
      <c r="U10" s="1">
        <f>90/C10/F10</f>
        <v>1.0788883134817883E-3</v>
      </c>
    </row>
    <row r="11" spans="1:21" x14ac:dyDescent="0.4">
      <c r="A11" t="s">
        <v>16</v>
      </c>
      <c r="B11">
        <v>9</v>
      </c>
      <c r="C11" s="3">
        <v>4292000</v>
      </c>
      <c r="D11" s="2">
        <f t="shared" si="0"/>
        <v>0.15653</v>
      </c>
      <c r="E11">
        <v>0.15653061200000001</v>
      </c>
      <c r="F11">
        <v>0.22800000000000001</v>
      </c>
      <c r="G11">
        <v>0.43921530800000003</v>
      </c>
      <c r="H11">
        <v>0</v>
      </c>
      <c r="I11">
        <v>0</v>
      </c>
      <c r="J11" t="s">
        <v>27</v>
      </c>
      <c r="L11">
        <v>6.6326530610000001</v>
      </c>
      <c r="M11">
        <v>-0.40546510800000002</v>
      </c>
      <c r="O11">
        <v>0.55473005399999997</v>
      </c>
      <c r="P11">
        <v>0.76996437500000003</v>
      </c>
      <c r="Q11">
        <v>0.99133982099999995</v>
      </c>
      <c r="R11" t="s">
        <v>26</v>
      </c>
      <c r="T11">
        <f t="shared" si="1"/>
        <v>15.653</v>
      </c>
      <c r="U11" s="1">
        <f>90/C11/F11</f>
        <v>9.1970373277088332E-5</v>
      </c>
    </row>
    <row r="13" spans="1:21" x14ac:dyDescent="0.4">
      <c r="U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Mancias, Jose Armando</dc:creator>
  <cp:lastModifiedBy>Mancias, Jose Armando</cp:lastModifiedBy>
  <dcterms:created xsi:type="dcterms:W3CDTF">2025-02-17T16:22:46Z</dcterms:created>
  <dcterms:modified xsi:type="dcterms:W3CDTF">2025-02-17T19:03:59Z</dcterms:modified>
</cp:coreProperties>
</file>